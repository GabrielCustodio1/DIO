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xr:revisionPtr revIDLastSave="0" documentId="13_ncr:1_{28FD048D-7D01-4BEC-9D27-DCE83C612A98}" xr6:coauthVersionLast="47" xr6:coauthVersionMax="47" xr10:uidLastSave="{00000000-0000-0000-0000-000000000000}"/>
  <bookViews>
    <workbookView xWindow="-120" yWindow="-120" windowWidth="29040" windowHeight="15840" tabRatio="0" xr2:uid="{ECC71489-DDED-4BB2-BDF4-3FA6798BC8B5}"/>
  </bookViews>
  <sheets>
    <sheet name="Planilha2" sheetId="2" r:id="rId1"/>
    <sheet name="Planilha1" sheetId="1" r:id="rId2"/>
  </sheets>
  <definedNames>
    <definedName name="aporte">Planilha2!$D$16</definedName>
    <definedName name="dividendos_mensais">Planilha2!$B$20</definedName>
    <definedName name="patrimonio">Planilha2!$B$19</definedName>
    <definedName name="qtd_anos">Planilha2!$D$17</definedName>
    <definedName name="rendimento">Planilha2!$D$12</definedName>
    <definedName name="salario">Planilha2!$D$11</definedName>
    <definedName name="sugestao">Planilha2!$D$13</definedName>
    <definedName name="taxa_mensal">Planilha2!$D$18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D38" i="2" s="1"/>
  <c r="C34" i="2"/>
  <c r="D34" i="2" s="1"/>
  <c r="C35" i="2"/>
  <c r="D35" i="2" s="1"/>
  <c r="C36" i="2"/>
  <c r="D36" i="2" s="1"/>
  <c r="C37" i="2"/>
  <c r="D37" i="2" s="1"/>
  <c r="C33" i="2"/>
  <c r="D33" i="2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3" i="1"/>
  <c r="D19" i="2"/>
  <c r="D20" i="2" s="1"/>
  <c r="C24" i="2"/>
  <c r="D24" i="2" s="1"/>
  <c r="C25" i="2"/>
  <c r="D25" i="2" s="1"/>
  <c r="C26" i="2"/>
  <c r="D26" i="2" s="1"/>
  <c r="C27" i="2"/>
  <c r="D27" i="2" s="1"/>
  <c r="C23" i="2"/>
  <c r="D23" i="2" s="1"/>
  <c r="D39" i="2" l="1"/>
</calcChain>
</file>

<file path=xl/sharedStrings.xml><?xml version="1.0" encoding="utf-8"?>
<sst xmlns="http://schemas.openxmlformats.org/spreadsheetml/2006/main" count="70" uniqueCount="33">
  <si>
    <t>Investimento Mensal</t>
  </si>
  <si>
    <t>Quanto investir por mês</t>
  </si>
  <si>
    <t>Por quantos anos investir</t>
  </si>
  <si>
    <t>Taxa de retorno mensal</t>
  </si>
  <si>
    <t>Patrimônio acumulado</t>
  </si>
  <si>
    <t>Dividendos mensais</t>
  </si>
  <si>
    <t>Cenários</t>
  </si>
  <si>
    <t>Quanto em 2 anos</t>
  </si>
  <si>
    <t>Quanto em 5 anos</t>
  </si>
  <si>
    <t>Quanto em 10 anos</t>
  </si>
  <si>
    <t>Quanto em 20 anos</t>
  </si>
  <si>
    <t>Quanto em 30 anos</t>
  </si>
  <si>
    <t>Dividendos</t>
  </si>
  <si>
    <t>Configurações</t>
  </si>
  <si>
    <t>Salário</t>
  </si>
  <si>
    <t>Rendimento Carteira</t>
  </si>
  <si>
    <t>Sugestão de Investimento</t>
  </si>
  <si>
    <t>Perfil</t>
  </si>
  <si>
    <t>Moderado</t>
  </si>
  <si>
    <t>Tipo de FII</t>
  </si>
  <si>
    <t xml:space="preserve">Percentual 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</si>
  <si>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</si>
  <si>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</si>
  <si>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</si>
  <si>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</si>
  <si>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</si>
  <si>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</si>
  <si>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</si>
  <si>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</si>
  <si>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 Composta</t>
  </si>
  <si>
    <t>Conservador</t>
  </si>
  <si>
    <t>Agressivo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</si>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</sst>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indexed="64"/>
      </right>
      <top/>
      <bottom style="medium">
        <color theme="2" tint="-0.499984740745262"/>
      </bottom>
      <diagonal/>
    </border>
    <border>
      <left style="medium">
        <color indexed="64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indexed="64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indexed="64"/>
      </left>
      <right style="medium">
        <color theme="2" tint="-0.499984740745262"/>
      </right>
      <top style="medium">
        <color theme="2" tint="-0.499984740745262"/>
      </top>
      <bottom style="medium">
        <color indexed="64"/>
      </bottom>
      <diagonal/>
    </border>
    <border>
      <left style="medium">
        <color theme="2" tint="-0.499984740745262"/>
      </left>
      <right style="medium">
        <color indexed="64"/>
      </right>
      <top style="medium">
        <color theme="2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2" tint="-0.499984740745262"/>
      </bottom>
      <diagonal/>
    </border>
    <border>
      <left style="medium">
        <color indexed="64"/>
      </left>
      <right/>
      <top style="medium">
        <color theme="2" tint="-0.499984740745262"/>
      </top>
      <bottom style="medium">
        <color indexed="64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indexed="64"/>
      </bottom>
      <diagonal/>
    </border>
    <border>
      <left style="medium">
        <color theme="2" tint="-0.499984740745262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2" xfId="1" applyNumberFormat="1" applyFont="1" applyBorder="1" applyAlignment="1">
      <alignment horizontal="center"/>
    </xf>
    <xf numFmtId="0" fontId="2" fillId="0" borderId="0" xfId="0" applyFont="1"/>
    <xf numFmtId="10" fontId="0" fillId="0" borderId="4" xfId="0" applyNumberFormat="1" applyBorder="1" applyAlignment="1">
      <alignment horizontal="center"/>
    </xf>
    <xf numFmtId="0" fontId="4" fillId="2" borderId="11" xfId="0" applyFont="1" applyFill="1" applyBorder="1" applyAlignment="1">
      <alignment vertical="center"/>
    </xf>
    <xf numFmtId="164" fontId="0" fillId="0" borderId="19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4" borderId="1" xfId="0" applyFont="1" applyFill="1" applyBorder="1"/>
    <xf numFmtId="164" fontId="0" fillId="4" borderId="21" xfId="1" applyNumberFormat="1" applyFont="1" applyFill="1" applyBorder="1" applyAlignment="1">
      <alignment horizontal="center"/>
    </xf>
    <xf numFmtId="164" fontId="0" fillId="4" borderId="16" xfId="1" applyNumberFormat="1" applyFont="1" applyFill="1" applyBorder="1" applyAlignment="1">
      <alignment horizontal="center"/>
    </xf>
    <xf numFmtId="0" fontId="5" fillId="4" borderId="3" xfId="0" applyFont="1" applyFill="1" applyBorder="1"/>
    <xf numFmtId="164" fontId="0" fillId="4" borderId="22" xfId="1" applyNumberFormat="1" applyFont="1" applyFill="1" applyBorder="1" applyAlignment="1">
      <alignment horizontal="center"/>
    </xf>
    <xf numFmtId="0" fontId="5" fillId="4" borderId="5" xfId="0" applyFont="1" applyFill="1" applyBorder="1"/>
    <xf numFmtId="164" fontId="0" fillId="4" borderId="23" xfId="1" applyNumberFormat="1" applyFont="1" applyFill="1" applyBorder="1" applyAlignment="1">
      <alignment horizontal="center"/>
    </xf>
    <xf numFmtId="164" fontId="0" fillId="4" borderId="20" xfId="1" applyNumberFormat="1" applyFont="1" applyFill="1" applyBorder="1" applyAlignment="1">
      <alignment horizontal="center"/>
    </xf>
    <xf numFmtId="9" fontId="0" fillId="4" borderId="21" xfId="1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0" fillId="0" borderId="8" xfId="0" applyBorder="1"/>
    <xf numFmtId="10" fontId="0" fillId="0" borderId="26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10" fontId="0" fillId="0" borderId="29" xfId="0" applyNumberForma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5" fillId="2" borderId="7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164" fontId="0" fillId="2" borderId="20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66"/>
      <color rgb="FFCC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Planilha2!$C$32</c:f>
              <c:strCache>
                <c:ptCount val="1"/>
                <c:pt idx="0">
                  <c:v>Percentual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Planilha2!$B$33:$B$38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F-4099-BA1B-4A7C47FD7DD4}"/>
            </c:ext>
          </c:extLst>
        </c:ser>
        <c:ser>
          <c:idx val="1"/>
          <c:order val="1"/>
          <c:tx>
            <c:strRef>
              <c:f>Planilha2!$D$32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Planilha2!$B$33:$B$38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Planilha2!$D$33:$D$38</c:f>
              <c:numCache>
                <c:formatCode>"R$"\ #,##0.00</c:formatCode>
                <c:ptCount val="6"/>
                <c:pt idx="0">
                  <c:v>150</c:v>
                </c:pt>
                <c:pt idx="1">
                  <c:v>250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F-4099-BA1B-4A7C47FD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180975</xdr:colOff>
      <xdr:row>0</xdr:row>
      <xdr:rowOff>104775</xdr:rowOff>
    </xdr:from>
    <xdr:to>
      <xdr:col>4</xdr:col>
      <xdr:colOff>94305</xdr:colOff>
      <xdr:row>8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75F85E-E406-4917-94F4-C4B64F4CA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rgbClr val="FFFF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80975" y="104775"/>
          <a:ext cx="5799780" cy="1609725"/>
        </a:xfrm>
        <a:prstGeom prst="rect">
          <a:avLst/>
        </a:prstGeom>
      </xdr:spPr>
    </xdr:pic>
    <xdr:clientData/>
  </xdr:twoCellAnchor>
  <xdr:twoCellAnchor>
    <xdr:from>
      <xdr:col>1</xdr:col>
      <xdr:colOff>404812</xdr:colOff>
      <xdr:row>39</xdr:row>
      <xdr:rowOff>114300</xdr:rowOff>
    </xdr:from>
    <xdr:to>
      <xdr:col>3</xdr:col>
      <xdr:colOff>528637</xdr:colOff>
      <xdr:row>54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93EEFD-CE0C-28E1-AE01-8A6B97742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5296-CEF4-4728-93D2-99E6FC163285}">
  <dimension ref="A9:XFC49"/>
  <sheetViews>
    <sheetView showGridLines="0" showRowColHeaders="0" tabSelected="1" zoomScaleNormal="100" workbookViewId="0">
      <selection activeCell="C29" sqref="C29:D29"/>
    </sheetView>
  </sheetViews>
  <sheetFormatPr defaultColWidth="0" defaultRowHeight="15" x14ac:dyDescent="0.25"/>
  <cols>
    <col min="1" max="1" width="4" bestFit="1" customWidth="1"/>
    <col min="2" max="2" width="32.7109375" customWidth="1"/>
    <col min="3" max="3" width="34" customWidth="1"/>
    <col min="4" max="4" width="17.5703125" bestFit="1" customWidth="1"/>
    <col min="5" max="5" width="2.7109375" customWidth="1"/>
    <col min="6" max="6" width="9.140625" hidden="1" customWidth="1"/>
    <col min="7" max="7" width="17.5703125" hidden="1" customWidth="1"/>
    <col min="8" max="8" width="11.7109375" hidden="1" customWidth="1"/>
    <col min="9" max="9" width="13.28515625" hidden="1"/>
    <col min="10" max="10" width="16.140625" hidden="1"/>
    <col min="11" max="19" width="9.140625" hidden="1"/>
    <col min="20" max="20" width="38" hidden="1"/>
    <col min="21" max="16383" width="9.140625" hidden="1"/>
    <col min="16384" max="16384" width="31.7109375" hidden="1" customWidth="1"/>
  </cols>
  <sheetData>
    <row r="9" spans="2:4" ht="15.75" thickBot="1" x14ac:dyDescent="0.3"/>
    <row r="10" spans="2:4" ht="24.75" thickBot="1" x14ac:dyDescent="0.45">
      <c r="B10" s="26" t="s">
        <v>13</v>
      </c>
      <c r="C10" s="27"/>
      <c r="D10" s="28"/>
    </row>
    <row r="11" spans="2:4" ht="16.5" thickBot="1" x14ac:dyDescent="0.3">
      <c r="B11" s="29" t="s">
        <v>14</v>
      </c>
      <c r="C11" s="30"/>
      <c r="D11" s="1">
        <v>10000</v>
      </c>
    </row>
    <row r="12" spans="2:4" ht="16.5" thickBot="1" x14ac:dyDescent="0.3">
      <c r="B12" s="34" t="s">
        <v>15</v>
      </c>
      <c r="C12" s="35"/>
      <c r="D12" s="3">
        <v>0.01</v>
      </c>
    </row>
    <row r="13" spans="2:4" ht="16.5" thickBot="1" x14ac:dyDescent="0.3">
      <c r="B13" s="36" t="s">
        <v>16</v>
      </c>
      <c r="C13" s="37"/>
      <c r="D13" s="8">
        <v>3000</v>
      </c>
    </row>
    <row r="14" spans="2:4" ht="15.75" thickBot="1" x14ac:dyDescent="0.3"/>
    <row r="15" spans="2:4" ht="24.75" thickBot="1" x14ac:dyDescent="0.45">
      <c r="B15" s="31" t="s">
        <v>0</v>
      </c>
      <c r="C15" s="32"/>
      <c r="D15" s="33"/>
    </row>
    <row r="16" spans="2:4" ht="16.5" thickBot="1" x14ac:dyDescent="0.3">
      <c r="B16" s="29" t="s">
        <v>1</v>
      </c>
      <c r="C16" s="30"/>
      <c r="D16" s="1">
        <v>500</v>
      </c>
    </row>
    <row r="17" spans="1:4" ht="16.5" thickBot="1" x14ac:dyDescent="0.3">
      <c r="B17" s="34" t="s">
        <v>2</v>
      </c>
      <c r="C17" s="35"/>
      <c r="D17" s="7">
        <v>5</v>
      </c>
    </row>
    <row r="18" spans="1:4" ht="16.5" thickBot="1" x14ac:dyDescent="0.3">
      <c r="B18" s="34" t="s">
        <v>3</v>
      </c>
      <c r="C18" s="35"/>
      <c r="D18" s="6">
        <v>1.0789999999999999E-2</v>
      </c>
    </row>
    <row r="19" spans="1:4" ht="16.5" thickBot="1" x14ac:dyDescent="0.3">
      <c r="A19" s="2">
        <v>2</v>
      </c>
      <c r="B19" s="34" t="s">
        <v>4</v>
      </c>
      <c r="C19" s="35"/>
      <c r="D19" s="1">
        <f>FV(taxa_mensal,qtd_anos*12,-aporte)</f>
        <v>41888.456999243819</v>
      </c>
    </row>
    <row r="20" spans="1:4" ht="16.5" thickBot="1" x14ac:dyDescent="0.3">
      <c r="A20" s="2">
        <v>5</v>
      </c>
      <c r="B20" s="36" t="s">
        <v>5</v>
      </c>
      <c r="C20" s="37"/>
      <c r="D20" s="5">
        <f>D19*rendimento</f>
        <v>418.88456999243817</v>
      </c>
    </row>
    <row r="21" spans="1:4" ht="15.75" thickBot="1" x14ac:dyDescent="0.3">
      <c r="A21" s="2">
        <v>10</v>
      </c>
    </row>
    <row r="22" spans="1:4" ht="24.75" thickBot="1" x14ac:dyDescent="0.45">
      <c r="A22" s="2">
        <v>20</v>
      </c>
      <c r="B22" s="31" t="s">
        <v>6</v>
      </c>
      <c r="C22" s="33"/>
      <c r="D22" s="4" t="s">
        <v>12</v>
      </c>
    </row>
    <row r="23" spans="1:4" ht="16.5" thickBot="1" x14ac:dyDescent="0.3">
      <c r="A23" s="2">
        <v>30</v>
      </c>
      <c r="B23" s="12" t="s">
        <v>7</v>
      </c>
      <c r="C23" s="13">
        <f>FV($D$18,$A19*12,-$D$16,)</f>
        <v>13613.813648822608</v>
      </c>
      <c r="D23" s="14">
        <f>$C23*rendimento</f>
        <v>136.13813648822608</v>
      </c>
    </row>
    <row r="24" spans="1:4" ht="16.5" thickBot="1" x14ac:dyDescent="0.3">
      <c r="B24" s="15" t="s">
        <v>8</v>
      </c>
      <c r="C24" s="16">
        <f>FV($D$18,$A20*12,-$D$16,)</f>
        <v>41888.456999243819</v>
      </c>
      <c r="D24" s="14">
        <f>$C24*rendimento</f>
        <v>418.88456999243817</v>
      </c>
    </row>
    <row r="25" spans="1:4" ht="16.5" thickBot="1" x14ac:dyDescent="0.3">
      <c r="B25" s="15" t="s">
        <v>9</v>
      </c>
      <c r="C25" s="16">
        <f>FV($D$18,$A21*12,-$D$16,)</f>
        <v>121642.1062650861</v>
      </c>
      <c r="D25" s="14">
        <f>$C25*rendimento</f>
        <v>1216.4210626508609</v>
      </c>
    </row>
    <row r="26" spans="1:4" ht="16.5" thickBot="1" x14ac:dyDescent="0.3">
      <c r="B26" s="15" t="s">
        <v>10</v>
      </c>
      <c r="C26" s="16">
        <f>FV($D$18,$A22*12,-$D$16,)</f>
        <v>562599.20004854025</v>
      </c>
      <c r="D26" s="14">
        <f>$C26*rendimento</f>
        <v>5625.992000485403</v>
      </c>
    </row>
    <row r="27" spans="1:4" ht="16.5" thickBot="1" x14ac:dyDescent="0.3">
      <c r="B27" s="17" t="s">
        <v>11</v>
      </c>
      <c r="C27" s="18">
        <f>FV($D$18,$A23*12,-$D$16,)</f>
        <v>2161084.8275023573</v>
      </c>
      <c r="D27" s="19">
        <f>$C27*rendimento</f>
        <v>21610.848275023574</v>
      </c>
    </row>
    <row r="28" spans="1:4" ht="15.75" thickBot="1" x14ac:dyDescent="0.3"/>
    <row r="29" spans="1:4" ht="24.75" thickBot="1" x14ac:dyDescent="0.45">
      <c r="B29" s="9" t="s">
        <v>17</v>
      </c>
      <c r="C29" s="22" t="s">
        <v>30</v>
      </c>
      <c r="D29" s="23"/>
    </row>
    <row r="30" spans="1:4" ht="16.5" thickBot="1" x14ac:dyDescent="0.3">
      <c r="B30" s="21" t="s">
        <v>0</v>
      </c>
      <c r="C30" s="24">
        <v>3000</v>
      </c>
      <c r="D30" s="25"/>
    </row>
    <row r="31" spans="1:4" ht="15.75" thickBot="1" x14ac:dyDescent="0.3"/>
    <row r="32" spans="1:4" ht="24.75" thickBot="1" x14ac:dyDescent="0.45">
      <c r="B32" s="10" t="s">
        <v>19</v>
      </c>
      <c r="C32" s="11" t="s">
        <v>20</v>
      </c>
      <c r="D32" s="11" t="s">
        <v>21</v>
      </c>
    </row>
    <row r="33" spans="2:4" ht="16.5" thickBot="1" x14ac:dyDescent="0.3">
      <c r="B33" s="15" t="s">
        <v>22</v>
      </c>
      <c r="C33" s="20">
        <f>VLOOKUP($C$29&amp;"-"&amp;B33,Planilha1!B:E,4,FALSE)</f>
        <v>0.3</v>
      </c>
      <c r="D33" s="14">
        <f t="shared" ref="D33:D39" si="0">aporte*$C33</f>
        <v>150</v>
      </c>
    </row>
    <row r="34" spans="2:4" ht="16.5" thickBot="1" x14ac:dyDescent="0.3">
      <c r="B34" s="15" t="s">
        <v>23</v>
      </c>
      <c r="C34" s="20">
        <f>VLOOKUP($C$29&amp;"-"&amp;B34,Planilha1!B:E,4,FALSE)</f>
        <v>0.5</v>
      </c>
      <c r="D34" s="14">
        <f t="shared" si="0"/>
        <v>250</v>
      </c>
    </row>
    <row r="35" spans="2:4" ht="16.5" thickBot="1" x14ac:dyDescent="0.3">
      <c r="B35" s="15" t="s">
        <v>24</v>
      </c>
      <c r="C35" s="20">
        <f>VLOOKUP($C$29&amp;"-"&amp;B35,Planilha1!B:E,4,FALSE)</f>
        <v>0.1</v>
      </c>
      <c r="D35" s="14">
        <f t="shared" si="0"/>
        <v>50</v>
      </c>
    </row>
    <row r="36" spans="2:4" ht="16.5" thickBot="1" x14ac:dyDescent="0.3">
      <c r="B36" s="15" t="s">
        <v>25</v>
      </c>
      <c r="C36" s="20">
        <f>VLOOKUP($C$29&amp;"-"&amp;B36,Planilha1!B:E,4,FALSE)</f>
        <v>0.1</v>
      </c>
      <c r="D36" s="14">
        <f t="shared" si="0"/>
        <v>50</v>
      </c>
    </row>
    <row r="37" spans="2:4" ht="16.5" thickBot="1" x14ac:dyDescent="0.3">
      <c r="B37" s="15" t="s">
        <v>26</v>
      </c>
      <c r="C37" s="20">
        <f>VLOOKUP($C$29&amp;"-"&amp;B37,Planilha1!B:E,4,FALSE)</f>
        <v>0</v>
      </c>
      <c r="D37" s="14">
        <f t="shared" si="0"/>
        <v>0</v>
      </c>
    </row>
    <row r="38" spans="2:4" ht="16.5" thickBot="1" x14ac:dyDescent="0.3">
      <c r="B38" s="17" t="s">
        <v>27</v>
      </c>
      <c r="C38" s="20">
        <f>VLOOKUP($C$29&amp;"-"&amp;B38,Planilha1!B:E,4,FALSE)</f>
        <v>0</v>
      </c>
      <c r="D38" s="19">
        <f t="shared" si="0"/>
        <v>0</v>
      </c>
    </row>
    <row r="39" spans="2:4" ht="16.5" thickBot="1" x14ac:dyDescent="0.3">
      <c r="B39" s="56" t="s">
        <v>32</v>
      </c>
      <c r="C39" s="57"/>
      <c r="D39" s="58">
        <f>SUM(D33:D38)</f>
        <v>500</v>
      </c>
    </row>
    <row r="49" customFormat="1" x14ac:dyDescent="0.25"/>
  </sheetData>
  <dataConsolidate/>
  <mergeCells count="14">
    <mergeCell ref="B39:C39"/>
    <mergeCell ref="C29:D29"/>
    <mergeCell ref="C30:D30"/>
    <mergeCell ref="B10:D10"/>
    <mergeCell ref="B11:C11"/>
    <mergeCell ref="B15:D15"/>
    <mergeCell ref="B16:C16"/>
    <mergeCell ref="B12:C12"/>
    <mergeCell ref="B13:C13"/>
    <mergeCell ref="B22:C22"/>
    <mergeCell ref="B17:C17"/>
    <mergeCell ref="B18:C18"/>
    <mergeCell ref="B19:C19"/>
    <mergeCell ref="B20:C20"/>
  </mergeCells>
  <dataValidations count="1">
    <dataValidation type="list" allowBlank="1" showInputMessage="1" showErrorMessage="1" sqref="C29:D29" xr:uid="{1BB8FE0E-912B-48F2-BD9F-1D12FA39E54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0727-E5B6-4466-A7C3-FF577CF25AC6}">
  <dimension ref="B1:E20"/>
  <sheetViews>
    <sheetView workbookViewId="0">
      <selection activeCell="E13" sqref="E13"/>
    </sheetView>
  </sheetViews>
  <sheetFormatPr defaultRowHeight="15" x14ac:dyDescent="0.25"/>
  <cols>
    <col min="1" max="1" width="3.42578125" customWidth="1"/>
    <col min="2" max="2" width="28.42578125" bestFit="1" customWidth="1"/>
    <col min="3" max="3" width="12.140625" bestFit="1" customWidth="1"/>
    <col min="4" max="4" width="16.140625" bestFit="1" customWidth="1"/>
  </cols>
  <sheetData>
    <row r="1" spans="2:5" ht="15.75" thickBot="1" x14ac:dyDescent="0.3"/>
    <row r="2" spans="2:5" ht="15.75" thickBot="1" x14ac:dyDescent="0.3">
      <c r="B2" s="44" t="s">
        <v>29</v>
      </c>
      <c r="C2" s="50" t="s">
        <v>17</v>
      </c>
      <c r="D2" s="50" t="s">
        <v>19</v>
      </c>
      <c r="E2" s="38" t="s">
        <v>28</v>
      </c>
    </row>
    <row r="3" spans="2:5" x14ac:dyDescent="0.25">
      <c r="B3" s="45" t="str">
        <f>C3&amp;"-"&amp;D3</f>
        <v>Conservador-Papel</v>
      </c>
      <c r="C3" s="51" t="s">
        <v>30</v>
      </c>
      <c r="D3" s="51" t="s">
        <v>22</v>
      </c>
      <c r="E3" s="41">
        <v>0.3</v>
      </c>
    </row>
    <row r="4" spans="2:5" x14ac:dyDescent="0.25">
      <c r="B4" s="46" t="str">
        <f t="shared" ref="B4:B20" si="0">C4&amp;"-"&amp;D4</f>
        <v>Conservador-Tijolo</v>
      </c>
      <c r="C4" s="52" t="s">
        <v>30</v>
      </c>
      <c r="D4" s="52" t="s">
        <v>23</v>
      </c>
      <c r="E4" s="39">
        <v>0.5</v>
      </c>
    </row>
    <row r="5" spans="2:5" x14ac:dyDescent="0.25">
      <c r="B5" s="46" t="str">
        <f t="shared" si="0"/>
        <v>Conservador-Híbridos</v>
      </c>
      <c r="C5" s="52" t="s">
        <v>30</v>
      </c>
      <c r="D5" s="52" t="s">
        <v>24</v>
      </c>
      <c r="E5" s="39">
        <v>0.1</v>
      </c>
    </row>
    <row r="6" spans="2:5" x14ac:dyDescent="0.25">
      <c r="B6" s="46" t="str">
        <f t="shared" si="0"/>
        <v>Conservador-FOFs</v>
      </c>
      <c r="C6" s="52" t="s">
        <v>30</v>
      </c>
      <c r="D6" s="52" t="s">
        <v>25</v>
      </c>
      <c r="E6" s="39">
        <v>0.1</v>
      </c>
    </row>
    <row r="7" spans="2:5" x14ac:dyDescent="0.25">
      <c r="B7" s="46" t="str">
        <f t="shared" si="0"/>
        <v>Conservador-Desenvolvimento</v>
      </c>
      <c r="C7" s="52" t="s">
        <v>30</v>
      </c>
      <c r="D7" s="52" t="s">
        <v>26</v>
      </c>
      <c r="E7" s="39">
        <v>0</v>
      </c>
    </row>
    <row r="8" spans="2:5" x14ac:dyDescent="0.25">
      <c r="B8" s="47" t="str">
        <f t="shared" si="0"/>
        <v>Conservador-Hotelarias</v>
      </c>
      <c r="C8" s="53" t="s">
        <v>30</v>
      </c>
      <c r="D8" s="53" t="s">
        <v>27</v>
      </c>
      <c r="E8" s="42">
        <v>0</v>
      </c>
    </row>
    <row r="9" spans="2:5" x14ac:dyDescent="0.25">
      <c r="B9" s="48" t="str">
        <f t="shared" si="0"/>
        <v>Moderado-Papel</v>
      </c>
      <c r="C9" s="54" t="s">
        <v>18</v>
      </c>
      <c r="D9" s="54" t="s">
        <v>22</v>
      </c>
      <c r="E9" s="43">
        <v>0.32</v>
      </c>
    </row>
    <row r="10" spans="2:5" x14ac:dyDescent="0.25">
      <c r="B10" s="46" t="str">
        <f t="shared" si="0"/>
        <v>Moderado-Tijolo</v>
      </c>
      <c r="C10" s="52" t="s">
        <v>18</v>
      </c>
      <c r="D10" s="52" t="s">
        <v>23</v>
      </c>
      <c r="E10" s="39">
        <v>0.35</v>
      </c>
    </row>
    <row r="11" spans="2:5" x14ac:dyDescent="0.25">
      <c r="B11" s="46" t="str">
        <f t="shared" si="0"/>
        <v>Moderado-Híbridos</v>
      </c>
      <c r="C11" s="52" t="s">
        <v>18</v>
      </c>
      <c r="D11" s="52" t="s">
        <v>24</v>
      </c>
      <c r="E11" s="39">
        <v>0.08</v>
      </c>
    </row>
    <row r="12" spans="2:5" x14ac:dyDescent="0.25">
      <c r="B12" s="46" t="str">
        <f t="shared" si="0"/>
        <v>Moderado-FOFs</v>
      </c>
      <c r="C12" s="52" t="s">
        <v>18</v>
      </c>
      <c r="D12" s="52" t="s">
        <v>25</v>
      </c>
      <c r="E12" s="39">
        <v>0.05</v>
      </c>
    </row>
    <row r="13" spans="2:5" x14ac:dyDescent="0.25">
      <c r="B13" s="46" t="str">
        <f t="shared" si="0"/>
        <v>Moderado-Desenvolvimento</v>
      </c>
      <c r="C13" s="52" t="s">
        <v>18</v>
      </c>
      <c r="D13" s="52" t="s">
        <v>26</v>
      </c>
      <c r="E13" s="39">
        <v>0.1</v>
      </c>
    </row>
    <row r="14" spans="2:5" x14ac:dyDescent="0.25">
      <c r="B14" s="47" t="str">
        <f t="shared" si="0"/>
        <v>Moderado-Hotelarias</v>
      </c>
      <c r="C14" s="53" t="s">
        <v>18</v>
      </c>
      <c r="D14" s="53" t="s">
        <v>27</v>
      </c>
      <c r="E14" s="42">
        <v>0.1</v>
      </c>
    </row>
    <row r="15" spans="2:5" x14ac:dyDescent="0.25">
      <c r="B15" s="46" t="str">
        <f t="shared" si="0"/>
        <v>Agressivo-Papel</v>
      </c>
      <c r="C15" s="52" t="s">
        <v>31</v>
      </c>
      <c r="D15" s="52" t="s">
        <v>22</v>
      </c>
      <c r="E15" s="39">
        <v>0.5</v>
      </c>
    </row>
    <row r="16" spans="2:5" x14ac:dyDescent="0.25">
      <c r="B16" s="46" t="str">
        <f t="shared" si="0"/>
        <v>Agressivo-Tijolo</v>
      </c>
      <c r="C16" s="52" t="s">
        <v>31</v>
      </c>
      <c r="D16" s="52" t="s">
        <v>23</v>
      </c>
      <c r="E16" s="39">
        <v>0.1</v>
      </c>
    </row>
    <row r="17" spans="2:5" x14ac:dyDescent="0.25">
      <c r="B17" s="46" t="str">
        <f t="shared" si="0"/>
        <v>Agressivo-Híbridos</v>
      </c>
      <c r="C17" s="52" t="s">
        <v>31</v>
      </c>
      <c r="D17" s="52" t="s">
        <v>24</v>
      </c>
      <c r="E17" s="39">
        <v>0.05</v>
      </c>
    </row>
    <row r="18" spans="2:5" x14ac:dyDescent="0.25">
      <c r="B18" s="46" t="str">
        <f t="shared" si="0"/>
        <v>Agressivo-FOFs</v>
      </c>
      <c r="C18" s="52" t="s">
        <v>31</v>
      </c>
      <c r="D18" s="52" t="s">
        <v>25</v>
      </c>
      <c r="E18" s="39">
        <v>0.05</v>
      </c>
    </row>
    <row r="19" spans="2:5" x14ac:dyDescent="0.25">
      <c r="B19" s="46" t="str">
        <f t="shared" si="0"/>
        <v>Agressivo-Desenvolvimento</v>
      </c>
      <c r="C19" s="52" t="s">
        <v>31</v>
      </c>
      <c r="D19" s="52" t="s">
        <v>26</v>
      </c>
      <c r="E19" s="39">
        <v>0.2</v>
      </c>
    </row>
    <row r="20" spans="2:5" ht="15.75" thickBot="1" x14ac:dyDescent="0.3">
      <c r="B20" s="49" t="str">
        <f t="shared" si="0"/>
        <v>Agressivo-Hotelarias</v>
      </c>
      <c r="C20" s="55" t="s">
        <v>31</v>
      </c>
      <c r="D20" s="55" t="s">
        <v>27</v>
      </c>
      <c r="E20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Planilha2</vt:lpstr>
      <vt:lpstr>Planilha1</vt:lpstr>
      <vt:lpstr>aporte</vt:lpstr>
      <vt:lpstr>dividendos_mensais</vt:lpstr>
      <vt:lpstr>patrimonio</vt:lpstr>
      <vt:lpstr>qtd_anos</vt:lpstr>
      <vt:lpstr>rendimento</vt:lpstr>
      <vt:lpstr>salario</vt:lpstr>
      <vt:lpstr>sugestao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GΔBRΙΣL</dc:creator>
  <cp:lastModifiedBy>GΔBRΙΣL</cp:lastModifiedBy>
  <dcterms:created xsi:type="dcterms:W3CDTF">2026-07-26T00:40:45Z</dcterms:created>
  <dcterms:modified xsi:type="dcterms:W3CDTF">2026-08-04T23:25:38Z</dcterms:modified>
</cp:coreProperties>
</file>